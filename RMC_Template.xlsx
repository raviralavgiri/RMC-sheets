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MC Sheet" state="visible" r:id="rId4"/>
    <sheet sheetId="2" name="Variance Analysis" state="visible" r:id="rId5"/>
    <sheet sheetId="3" name="Stage Summary" state="visible" r:id="rId6"/>
  </sheets>
  <calcPr calcId="171027"/>
</workbook>
</file>

<file path=xl/sharedStrings.xml><?xml version="1.0" encoding="utf-8"?>
<sst xmlns="http://schemas.openxmlformats.org/spreadsheetml/2006/main" count="268" uniqueCount="170">
  <si>
    <t>RAW MATERIAL COST SHEET (RMC)</t>
  </si>
  <si>
    <t>Product Name / API:  [Product Name / Intermediate]     |     Batch Size:  [X kg / L]     |     Stage:  [Stage No.]</t>
  </si>
  <si>
    <t>Document No.:  RMC-XXX-001     |     Version:  00     |     Effective Date:  DD-MMM-YYYY</t>
  </si>
  <si>
    <t>Prepared By:  _______________     |     Reviewed By:  _______________     |     Approved By:  _______________</t>
  </si>
  <si>
    <t>BOM Reference:  MFR-XXX-001     |     Currency:  INR (₹)     |     Exchange Rate:  1 USD = ₹83.50</t>
  </si>
  <si>
    <t>Price Validity Date:  DD-MMM-YYYY     |     Yield Basis:  Theoretical/Actual     |     Recovery Credit Applied:  Yes</t>
  </si>
  <si>
    <t>Assumptions: Yield % from avg 3 pilot batches | Recovery % from plant data | Prices from approved vendor quotes</t>
  </si>
  <si>
    <t>S. No.</t>
  </si>
  <si>
    <t xml:space="preserve">Material Code /
Item Code</t>
  </si>
  <si>
    <t xml:space="preserve">Raw Material Name
(API/KSM/Intermediate/Solvent/Reagent/Catalyst)</t>
  </si>
  <si>
    <t>Category</t>
  </si>
  <si>
    <t xml:space="preserve">Grade /
Specification</t>
  </si>
  <si>
    <t xml:space="preserve">Theoretical Qty
per Batch</t>
  </si>
  <si>
    <t xml:space="preserve">Input Factor /
Yield (%)</t>
  </si>
  <si>
    <t xml:space="preserve">Actual Qty
Required</t>
  </si>
  <si>
    <t>UOM</t>
  </si>
  <si>
    <t xml:space="preserve">Unit Rate
(₹/kg or ₹/L)</t>
  </si>
  <si>
    <t xml:space="preserve">Source
(Indig./Imported)</t>
  </si>
  <si>
    <t xml:space="preserve">Total Cost
per Batch (₹)</t>
  </si>
  <si>
    <t xml:space="preserve">Cost per kg
of Output (₹)</t>
  </si>
  <si>
    <t xml:space="preserve">% Contribution
to Total RM</t>
  </si>
  <si>
    <t xml:space="preserve">Basis of
Estimate</t>
  </si>
  <si>
    <t xml:space="preserve">Vendor Approval
Status</t>
  </si>
  <si>
    <t>Remarks</t>
  </si>
  <si>
    <t xml:space="preserve">  STAGE 1 – Starting Material Conversion</t>
  </si>
  <si>
    <t>RM-001</t>
  </si>
  <si>
    <t>Starting Material A (KSM)</t>
  </si>
  <si>
    <t>KSM</t>
  </si>
  <si>
    <t>USP</t>
  </si>
  <si>
    <t>kg</t>
  </si>
  <si>
    <t>Imported</t>
  </si>
  <si>
    <t>Commercial</t>
  </si>
  <si>
    <t>Approved</t>
  </si>
  <si>
    <t>Primary KSM, imported; USD rate applied</t>
  </si>
  <si>
    <t>RM-002</t>
  </si>
  <si>
    <t>Reagent B – Coupling Agent</t>
  </si>
  <si>
    <t>Reagent</t>
  </si>
  <si>
    <t>GMP</t>
  </si>
  <si>
    <t>Indigenous</t>
  </si>
  <si>
    <t>Local vendor; price valid 6 months</t>
  </si>
  <si>
    <t>RM-003</t>
  </si>
  <si>
    <t>Solvent C – Methanol</t>
  </si>
  <si>
    <t>Solvent</t>
  </si>
  <si>
    <t>Technical</t>
  </si>
  <si>
    <t>L</t>
  </si>
  <si>
    <t>Recyclable; recovery credit applied separately</t>
  </si>
  <si>
    <t>RM-004</t>
  </si>
  <si>
    <t>Catalyst D – Pd/C (5%)</t>
  </si>
  <si>
    <t>Catalyst</t>
  </si>
  <si>
    <t>Pilot</t>
  </si>
  <si>
    <t>Amortised over 5 reuse cycles; cost ÷ 5</t>
  </si>
  <si>
    <t>RM-005</t>
  </si>
  <si>
    <t>Reagent E – Potassium Carbonate</t>
  </si>
  <si>
    <t>—</t>
  </si>
  <si>
    <t>RM-006</t>
  </si>
  <si>
    <t>Solvent F – Ethyl Acetate</t>
  </si>
  <si>
    <t xml:space="preserve">  STAGE 2 – Intermediate Synthesis</t>
  </si>
  <si>
    <t>RM-007</t>
  </si>
  <si>
    <t>Intermediate – Stage 1 Output</t>
  </si>
  <si>
    <t>Intermediate</t>
  </si>
  <si>
    <t>In-house GMP</t>
  </si>
  <si>
    <t>In-house</t>
  </si>
  <si>
    <t>Cost rolled from Stage 1; see Stage Summary sheet</t>
  </si>
  <si>
    <t>RM-008</t>
  </si>
  <si>
    <t>Reagent G – Acylating Agent</t>
  </si>
  <si>
    <t>USD rate applied; see exchange rate assumption</t>
  </si>
  <si>
    <t>RM-009</t>
  </si>
  <si>
    <t>Solvent G – Dichloromethane (DCM)</t>
  </si>
  <si>
    <t>RM-010</t>
  </si>
  <si>
    <t>Reagent H – Hydrochloric Acid 35%</t>
  </si>
  <si>
    <t xml:space="preserve">  FINAL STAGE – API Crystallisation &amp; Purification</t>
  </si>
  <si>
    <t>RM-011</t>
  </si>
  <si>
    <t>Intermediate – Stage 2 Output</t>
  </si>
  <si>
    <t>Cost rolled from Stage 2; see Stage Summary sheet</t>
  </si>
  <si>
    <t>RM-012</t>
  </si>
  <si>
    <t>Solvent H – Isopropyl Alcohol (IPA)</t>
  </si>
  <si>
    <t>RM-013</t>
  </si>
  <si>
    <t>Processing Aid – Activated Carbon</t>
  </si>
  <si>
    <t>Processing Aid</t>
  </si>
  <si>
    <t>RM-014</t>
  </si>
  <si>
    <t>Purified Water (Processing)</t>
  </si>
  <si>
    <t>USP Purified</t>
  </si>
  <si>
    <t>Utility cost basis; see Assumption 7</t>
  </si>
  <si>
    <t xml:space="preserve">  SOLVENT RECOVERY CREDITS  (deducted from Gross RM Cost)</t>
  </si>
  <si>
    <t>RC-001</t>
  </si>
  <si>
    <t>Methanol Recovery Credit</t>
  </si>
  <si>
    <t>Recovery Credit</t>
  </si>
  <si>
    <t>85% recovery; net 340 L credited</t>
  </si>
  <si>
    <t>RC-002</t>
  </si>
  <si>
    <t>Ethyl Acetate Recovery Credit</t>
  </si>
  <si>
    <t>80% recovery; net 512 L credited</t>
  </si>
  <si>
    <t>RC-003</t>
  </si>
  <si>
    <t>DCM Recovery Credit</t>
  </si>
  <si>
    <t>75% recovery; net 360 L credited</t>
  </si>
  <si>
    <t>RC-004</t>
  </si>
  <si>
    <t>IPA Recovery Credit</t>
  </si>
  <si>
    <t>82% recovery; net 262 L credited</t>
  </si>
  <si>
    <t>GROSS RAW MATERIAL COST  (before recovery credits)</t>
  </si>
  <si>
    <t>TOTAL SOLVENT RECOVERY CREDITS  (negative = credit)</t>
  </si>
  <si>
    <t>NET RAW MATERIAL COST  (Gross + Credits)</t>
  </si>
  <si>
    <t xml:space="preserve">  YIELD SUMMARY</t>
  </si>
  <si>
    <t xml:space="preserve">  COST SUMMARY</t>
  </si>
  <si>
    <t>Total Gross RM Cost (₹)</t>
  </si>
  <si>
    <t>Total Solvent Recovery Credits (₹)</t>
  </si>
  <si>
    <t>Net Raw Material Cost (₹)</t>
  </si>
  <si>
    <t>Batch Output – Actual Expected (kg API)</t>
  </si>
  <si>
    <t>RM Cost per kg of API (₹/kg)</t>
  </si>
  <si>
    <t xml:space="preserve">    TOP 3 COST DRIVERS  (by % contribution)</t>
  </si>
  <si>
    <t>1st</t>
  </si>
  <si>
    <t>Starting Material A (KSM) – RM-001</t>
  </si>
  <si>
    <t>~55-60%</t>
  </si>
  <si>
    <t>2nd</t>
  </si>
  <si>
    <t>Catalyst D – Pd/C (5%) – RM-004</t>
  </si>
  <si>
    <t>~15-20%</t>
  </si>
  <si>
    <t>3rd</t>
  </si>
  <si>
    <t>Reagent G – Acylating Agent – RM-008</t>
  </si>
  <si>
    <t>~10-12%</t>
  </si>
  <si>
    <t xml:space="preserve">  ASSUMPTIONS &amp; NOTES</t>
  </si>
  <si>
    <t>1.  Yield % values based on average of 3 consecutive pilot batches. Update with commercial batch data when available.</t>
  </si>
  <si>
    <t>2.  Solvent recovery %: Methanol 85%, Ethyl Acetate 80%, DCM 75%, IPA 82% — based on plant solvent recovery system data.</t>
  </si>
  <si>
    <t>3.  USD / INR exchange rate: 1 USD = ₹83.50 (valid as of DD-MMM-YYYY). Update for each cost revision cycle.</t>
  </si>
  <si>
    <t>4.  Unit rates sourced from approved vendor quotations; price validity: 6 months from effective date. Review on renewal.</t>
  </si>
  <si>
    <t>5.  Catalyst Pd/C reuse cycle = 5 batches; cost per batch = total procurement cost ÷ 5. Confirm with process team.</t>
  </si>
  <si>
    <t>6.  Intermediate costs from Stage 1 and Stage 2 are rolled into subsequent stages as input material cost.</t>
  </si>
  <si>
    <t>7.  Purified water cost of ₹15/L represents utility / processing cost allocated by engineering. Not a procurement cost.</t>
  </si>
  <si>
    <t>8.  All costs are in INR (₹). Imported material costs converted using exchange rate stated in Assumption 3.</t>
  </si>
  <si>
    <t>9.  Theoretical batch output = 75 kg API. Update with validated batch record data upon commercial manufacture.</t>
  </si>
  <si>
    <t>10. "Basis of Estimate" column: Commercial = vendor quotes; Pilot = pilot batch data; Lab = lab scale extrapolation.</t>
  </si>
  <si>
    <t>RAW MATERIAL COST – STANDARD vs ACTUAL VARIANCE ANALYSIS</t>
  </si>
  <si>
    <t>Product: [Product Name]     |     Batch No.: [Batch No.]     |     Period: [Month / Quarter / Year]</t>
  </si>
  <si>
    <t>S.No.</t>
  </si>
  <si>
    <t>Material Name</t>
  </si>
  <si>
    <t xml:space="preserve">Std Qty
(kg/L)</t>
  </si>
  <si>
    <t xml:space="preserve">Actual Qty
(kg/L)</t>
  </si>
  <si>
    <t xml:space="preserve">Qty Variance
(kg/L)</t>
  </si>
  <si>
    <t xml:space="preserve">Std Rate
(₹)</t>
  </si>
  <si>
    <t xml:space="preserve">Actual Rate
(₹)</t>
  </si>
  <si>
    <t xml:space="preserve">Rate Variance
(₹)</t>
  </si>
  <si>
    <t xml:space="preserve">Std Cost
(₹)</t>
  </si>
  <si>
    <t xml:space="preserve">Actual Cost
(₹)</t>
  </si>
  <si>
    <t xml:space="preserve">Total Variance
(₹)</t>
  </si>
  <si>
    <t xml:space="preserve">Total Var
(%)</t>
  </si>
  <si>
    <t>Favourable qty; adverse rate – supplier price increase</t>
  </si>
  <si>
    <t>Adverse qty – higher in-process loss this batch</t>
  </si>
  <si>
    <t>Adverse rate – market shortage; price review initiated</t>
  </si>
  <si>
    <t>Solvent C – Methanol (net credit)</t>
  </si>
  <si>
    <t>Favourable qty – better yield; rate unchanged</t>
  </si>
  <si>
    <t>Adverse qty, favourable rate – negotiated discount</t>
  </si>
  <si>
    <t>TOTAL</t>
  </si>
  <si>
    <t>LEGEND:  Favourable Variance = Actual Cost &lt; Standard Cost  |  Adverse Variance = Actual Cost &gt; Standard Cost  |  Blue text = Hardcoded inputs</t>
  </si>
  <si>
    <t>STAGE-WISE RAW MATERIAL COST SUMMARY</t>
  </si>
  <si>
    <t>Product: [Product Name]     |     BOM Ref: MFR-XXX-001     |     Date: DD-MMM-YYYY</t>
  </si>
  <si>
    <t>Stage</t>
  </si>
  <si>
    <t xml:space="preserve">Key Raw Materials
(Main Inputs)</t>
  </si>
  <si>
    <t xml:space="preserve">Gross RM Cost
(₹)</t>
  </si>
  <si>
    <t xml:space="preserve">Recovery Credits
(₹)</t>
  </si>
  <si>
    <t xml:space="preserve">Net RM Cost
(₹)</t>
  </si>
  <si>
    <t xml:space="preserve">Theoretical
Yield (%)</t>
  </si>
  <si>
    <t xml:space="preserve">Actual
Yield (%)</t>
  </si>
  <si>
    <t xml:space="preserve">Output Qty
(kg)</t>
  </si>
  <si>
    <t xml:space="preserve">Cost per kg
of Output (₹/kg)</t>
  </si>
  <si>
    <t xml:space="preserve">Stage 1
(KSM Conversion)</t>
  </si>
  <si>
    <t xml:space="preserve">Starting Material A, Reagent B,
Methanol, Pd/C, K₂CO₃, Ethyl Acetate</t>
  </si>
  <si>
    <t xml:space="preserve">Stage 2
(Intermediate)</t>
  </si>
  <si>
    <t xml:space="preserve">Stage 1 Intermediate, Acylating Agent,
DCM, HCl 35%</t>
  </si>
  <si>
    <t xml:space="preserve">Final Stage
(API Crystall.)</t>
  </si>
  <si>
    <t xml:space="preserve">Stage 2 Intermediate, IPA,
Activated Carbon, Purified Water</t>
  </si>
  <si>
    <t>TOTAL / FINAL API</t>
  </si>
  <si>
    <t>All Stages Combined</t>
  </si>
  <si>
    <t>NOTE: Stage costs above are illustrative split estimates. Populate from validated batch records. Recovery credits proportionally allocated per stage. Final API cost/kg rolls up all three stages.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</si>
</sst>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(#,##0.00);&quot;-&quot;"/>
    <numFmt numFmtId="165" formatCode="0.00%;-0.00%;&quot;-&quot;"/>
    <numFmt numFmtId="166" formatCode="₹#,##0.00;(₹#,##0.00);&quot;-&quot;"/>
  </numFmts>
  <fonts count="13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color rgb="FFFFFFFF"/>
      <sz val="9"/>
      <name val="Arial"/>
    </font>
    <font>
      <b/>
      <color rgb="FFFFFFFF"/>
      <sz val="9"/>
      <name val="Arial"/>
    </font>
    <font>
      <b/>
      <color rgb="FFFFFFFF"/>
      <sz val="10"/>
      <name val="Arial"/>
    </font>
    <font>
      <color rgb="FF000000"/>
      <sz val="9"/>
      <name val="Arial"/>
    </font>
    <font>
      <i/>
      <color rgb="FFC00000"/>
      <sz val="9"/>
      <name val="Arial"/>
    </font>
    <font>
      <b/>
      <color rgb="FF000000"/>
      <sz val="10"/>
      <name val="Arial"/>
    </font>
    <font>
      <b/>
      <color rgb="FFC00000"/>
      <sz val="10"/>
      <name val="Arial"/>
    </font>
    <font>
      <color rgb="FF0000FF"/>
      <sz val="9"/>
      <name val="Arial"/>
    </font>
    <font>
      <b/>
      <color rgb="FF000000"/>
      <sz val="9"/>
      <name val="Arial"/>
    </font>
    <font>
      <b/>
      <color rgb="FFFFFFFF"/>
      <sz val="14"/>
      <name val="Arial"/>
    </font>
    <font>
      <i/>
      <color rgb="FF000000"/>
      <sz val="8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2F5496"/>
      </patternFill>
    </fill>
    <fill>
      <patternFill patternType="solid">
        <fgColor rgb="FFDEEAF1"/>
      </patternFill>
    </fill>
    <fill>
      <patternFill patternType="solid">
        <fgColor rgb="FFBDD7EE"/>
      </patternFill>
    </fill>
    <fill>
      <patternFill patternType="solid">
        <fgColor rgb="FFFFE4E1"/>
      </patternFill>
    </fill>
    <fill>
      <patternFill patternType="solid">
        <fgColor rgb="FF375623"/>
      </patternFill>
    </fill>
    <fill>
      <patternFill patternType="solid">
        <fgColor rgb="FFFFF2CC"/>
      </patternFill>
    </fill>
    <fill>
      <patternFill patternType="solid">
        <fgColor rgb="FFFFD700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65" fontId="5" fillId="5" borderId="1" xfId="0" applyNumberFormat="1" applyFont="1" applyFill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165" fontId="5" fillId="6" borderId="1" xfId="0" applyNumberFormat="1" applyFont="1" applyFill="1" applyBorder="1" applyAlignment="1">
      <alignment horizontal="center" vertical="center" wrapText="1"/>
    </xf>
    <xf numFmtId="166" fontId="5" fillId="6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164" fontId="6" fillId="7" borderId="1" xfId="0" applyNumberFormat="1" applyFont="1" applyFill="1" applyBorder="1" applyAlignment="1">
      <alignment horizontal="center" vertical="center" wrapText="1"/>
    </xf>
    <xf numFmtId="165" fontId="6" fillId="7" borderId="1" xfId="0" applyNumberFormat="1" applyFont="1" applyFill="1" applyBorder="1" applyAlignment="1">
      <alignment horizontal="center" vertical="center" wrapText="1"/>
    </xf>
    <xf numFmtId="166" fontId="6" fillId="7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right" vertical="center" wrapText="1"/>
    </xf>
    <xf numFmtId="166" fontId="7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/>
    <xf numFmtId="0" fontId="8" fillId="7" borderId="1" xfId="0" applyFont="1" applyFill="1" applyBorder="1" applyAlignment="1">
      <alignment horizontal="right" vertical="center" wrapText="1"/>
    </xf>
    <xf numFmtId="166" fontId="8" fillId="7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/>
    <xf numFmtId="0" fontId="4" fillId="8" borderId="1" xfId="0" applyFont="1" applyFill="1" applyBorder="1" applyAlignment="1">
      <alignment horizontal="right" vertical="center" wrapText="1"/>
    </xf>
    <xf numFmtId="166" fontId="4" fillId="8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/>
    <xf numFmtId="164" fontId="9" fillId="9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/>
    <xf numFmtId="165" fontId="9" fillId="9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10" fillId="9" borderId="1" xfId="0" applyFont="1" applyFill="1" applyBorder="1" applyAlignment="1">
      <alignment horizontal="left" vertical="center" wrapText="1"/>
    </xf>
    <xf numFmtId="166" fontId="10" fillId="10" borderId="1" xfId="0" applyNumberFormat="1" applyFont="1" applyFill="1" applyBorder="1" applyAlignment="1">
      <alignment horizontal="center" vertical="center" wrapText="1"/>
    </xf>
    <xf numFmtId="164" fontId="10" fillId="10" borderId="1" xfId="0" applyNumberFormat="1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/>
    </xf>
    <xf numFmtId="166" fontId="4" fillId="2" borderId="1" xfId="0" applyNumberFormat="1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/>
    <xf numFmtId="0" fontId="12" fillId="11" borderId="1" xfId="0" applyFont="1" applyFill="1" applyBorder="1" applyAlignment="1">
      <alignment horizontal="left" vertical="center" wrapText="1"/>
    </xf>
    <xf numFmtId="166" fontId="9" fillId="6" borderId="1" xfId="0" applyNumberFormat="1" applyFont="1" applyFill="1" applyBorder="1" applyAlignment="1">
      <alignment horizontal="center" vertical="center" wrapText="1"/>
    </xf>
    <xf numFmtId="165" fontId="9" fillId="6" borderId="1" xfId="0" applyNumberFormat="1" applyFont="1" applyFill="1" applyBorder="1" applyAlignment="1">
      <alignment horizontal="center" vertical="center" wrapText="1"/>
    </xf>
    <xf numFmtId="164" fontId="9" fillId="6" borderId="1" xfId="0" applyNumberFormat="1" applyFont="1" applyFill="1" applyBorder="1" applyAlignment="1">
      <alignment horizontal="center" vertical="center" wrapText="1"/>
    </xf>
    <xf numFmtId="166" fontId="9" fillId="5" borderId="1" xfId="0" applyNumberFormat="1" applyFont="1" applyFill="1" applyBorder="1" applyAlignment="1">
      <alignment horizontal="center" vertical="center" wrapText="1"/>
    </xf>
    <xf numFmtId="165" fontId="9" fillId="5" borderId="1" xfId="0" applyNumberFormat="1" applyFont="1" applyFill="1" applyBorder="1" applyAlignment="1">
      <alignment horizontal="center" vertical="center" wrapText="1"/>
    </xf>
    <xf numFmtId="164" fontId="9" fillId="5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165" fontId="4" fillId="8" borderId="1" xfId="0" applyNumberFormat="1" applyFont="1" applyFill="1" applyBorder="1" applyAlignment="1">
      <alignment horizontal="center" vertical="center" wrapText="1"/>
    </xf>
    <xf numFmtId="164" fontId="4" fillId="8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Q69"/>
  <sheetViews>
    <sheetView workbookViewId="0">
      <pane ySplit="9" topLeftCell="A10" activePane="bottomLeft" state="frozen"/>
      <selection pane="bottomLeft" activeCell="A10" sqref="A10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32" customWidth="1"/>
    <col min="4" max="4" width="16" customWidth="1"/>
    <col min="5" max="5" width="18" customWidth="1"/>
    <col min="6" max="8" width="14" customWidth="1"/>
    <col min="9" max="9" width="6" customWidth="1"/>
    <col min="10" max="10" width="16" customWidth="1"/>
    <col min="11" max="11" width="12" customWidth="1"/>
    <col min="12" max="12" width="18" customWidth="1"/>
    <col min="13" max="13" width="16" customWidth="1"/>
    <col min="14" max="14" width="12" customWidth="1"/>
    <col min="15" max="16" width="18" customWidth="1"/>
    <col min="17" max="17" width="30" customWidth="1"/>
  </cols>
  <sheetData>
    <row r="1" ht="32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5" customHeight="1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15" customHeight="1" spans="1:1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t="15" customHeight="1" spans="1:17" x14ac:dyDescent="0.2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ht="15" customHeight="1" spans="1:17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ht="15" customHeight="1" spans="1:17" x14ac:dyDescent="0.25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15" customHeight="1" spans="1:17" x14ac:dyDescent="0.25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ht="5" customHeight="1" x14ac:dyDescent="0.25"/>
    <row r="9" ht="40" customHeight="1" spans="1:17" x14ac:dyDescent="0.25">
      <c r="A9" s="4" t="s">
        <v>7</v>
      </c>
      <c r="B9" s="4" t="s">
        <v>8</v>
      </c>
      <c r="C9" s="4" t="s">
        <v>9</v>
      </c>
      <c r="D9" s="4" t="s">
        <v>10</v>
      </c>
      <c r="E9" s="4" t="s">
        <v>11</v>
      </c>
      <c r="F9" s="4" t="s">
        <v>12</v>
      </c>
      <c r="G9" s="4" t="s">
        <v>13</v>
      </c>
      <c r="H9" s="4" t="s">
        <v>14</v>
      </c>
      <c r="I9" s="4" t="s">
        <v>15</v>
      </c>
      <c r="J9" s="4" t="s">
        <v>16</v>
      </c>
      <c r="K9" s="4" t="s">
        <v>17</v>
      </c>
      <c r="L9" s="4" t="s">
        <v>18</v>
      </c>
      <c r="M9" s="4" t="s">
        <v>19</v>
      </c>
      <c r="N9" s="4" t="s">
        <v>20</v>
      </c>
      <c r="O9" s="4" t="s">
        <v>21</v>
      </c>
      <c r="P9" s="4" t="s">
        <v>22</v>
      </c>
      <c r="Q9" s="4" t="s">
        <v>23</v>
      </c>
    </row>
    <row r="10" ht="18" customHeight="1" spans="1:17" x14ac:dyDescent="0.25">
      <c r="A10" s="5" t="s">
        <v>24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ht="18" customHeight="1" spans="1:17" x14ac:dyDescent="0.25">
      <c r="A11" s="6">
        <v>1</v>
      </c>
      <c r="B11" s="6" t="s">
        <v>25</v>
      </c>
      <c r="C11" s="7" t="s">
        <v>26</v>
      </c>
      <c r="D11" s="6" t="s">
        <v>27</v>
      </c>
      <c r="E11" s="6" t="s">
        <v>28</v>
      </c>
      <c r="F11" s="8">
        <v>120</v>
      </c>
      <c r="G11" s="9">
        <v>0.98</v>
      </c>
      <c r="H11" s="8">
        <f>IFERROR(F11/G11,0)</f>
        <v>122.44897959183673</v>
      </c>
      <c r="I11" s="6" t="s">
        <v>29</v>
      </c>
      <c r="J11" s="10">
        <v>45000</v>
      </c>
      <c r="K11" s="6" t="s">
        <v>30</v>
      </c>
      <c r="L11" s="10">
        <f>H11*J11</f>
        <v>5510204.081632653</v>
      </c>
      <c r="M11" s="10">
        <f>IFERROR(L11/F46,0)</f>
      </c>
      <c r="N11" s="9">
        <f>IFERROR(L11/L34,0)</f>
      </c>
      <c r="O11" s="6" t="s">
        <v>31</v>
      </c>
      <c r="P11" s="6" t="s">
        <v>32</v>
      </c>
      <c r="Q11" s="7" t="s">
        <v>33</v>
      </c>
    </row>
    <row r="12" ht="18" customHeight="1" spans="1:17" x14ac:dyDescent="0.25">
      <c r="A12" s="11">
        <v>2</v>
      </c>
      <c r="B12" s="11" t="s">
        <v>34</v>
      </c>
      <c r="C12" s="12" t="s">
        <v>35</v>
      </c>
      <c r="D12" s="11" t="s">
        <v>36</v>
      </c>
      <c r="E12" s="11" t="s">
        <v>37</v>
      </c>
      <c r="F12" s="13">
        <v>85</v>
      </c>
      <c r="G12" s="14">
        <v>0.97</v>
      </c>
      <c r="H12" s="13">
        <f>IFERROR(F12/G12,0)</f>
        <v>87.62886597938144</v>
      </c>
      <c r="I12" s="11" t="s">
        <v>29</v>
      </c>
      <c r="J12" s="15">
        <v>12500</v>
      </c>
      <c r="K12" s="11" t="s">
        <v>38</v>
      </c>
      <c r="L12" s="15">
        <f>H12*J12</f>
        <v>1095360.824742268</v>
      </c>
      <c r="M12" s="15">
        <f>IFERROR(L12/F46,0)</f>
      </c>
      <c r="N12" s="14">
        <f>IFERROR(L12/L34,0)</f>
      </c>
      <c r="O12" s="11" t="s">
        <v>31</v>
      </c>
      <c r="P12" s="11" t="s">
        <v>32</v>
      </c>
      <c r="Q12" s="12" t="s">
        <v>39</v>
      </c>
    </row>
    <row r="13" ht="18" customHeight="1" spans="1:17" x14ac:dyDescent="0.25">
      <c r="A13" s="6">
        <v>3</v>
      </c>
      <c r="B13" s="6" t="s">
        <v>40</v>
      </c>
      <c r="C13" s="7" t="s">
        <v>41</v>
      </c>
      <c r="D13" s="6" t="s">
        <v>42</v>
      </c>
      <c r="E13" s="6" t="s">
        <v>43</v>
      </c>
      <c r="F13" s="8">
        <v>500</v>
      </c>
      <c r="G13" s="9">
        <v>1</v>
      </c>
      <c r="H13" s="8">
        <f>IFERROR(F13/G13,0)</f>
        <v>500</v>
      </c>
      <c r="I13" s="6" t="s">
        <v>44</v>
      </c>
      <c r="J13" s="10">
        <v>65</v>
      </c>
      <c r="K13" s="6" t="s">
        <v>38</v>
      </c>
      <c r="L13" s="10">
        <f>H13*J13</f>
        <v>32500</v>
      </c>
      <c r="M13" s="10">
        <f>IFERROR(L13/F46,0)</f>
      </c>
      <c r="N13" s="9">
        <f>IFERROR(L13/L34,0)</f>
      </c>
      <c r="O13" s="6" t="s">
        <v>31</v>
      </c>
      <c r="P13" s="6" t="s">
        <v>32</v>
      </c>
      <c r="Q13" s="7" t="s">
        <v>45</v>
      </c>
    </row>
    <row r="14" ht="18" customHeight="1" spans="1:17" x14ac:dyDescent="0.25">
      <c r="A14" s="11">
        <v>4</v>
      </c>
      <c r="B14" s="11" t="s">
        <v>46</v>
      </c>
      <c r="C14" s="12" t="s">
        <v>47</v>
      </c>
      <c r="D14" s="11" t="s">
        <v>48</v>
      </c>
      <c r="E14" s="11" t="s">
        <v>37</v>
      </c>
      <c r="F14" s="13">
        <v>2.5</v>
      </c>
      <c r="G14" s="14">
        <v>0.95</v>
      </c>
      <c r="H14" s="13">
        <f>IFERROR(F14/G14,0)</f>
        <v>2.6315789473684212</v>
      </c>
      <c r="I14" s="11" t="s">
        <v>29</v>
      </c>
      <c r="J14" s="15">
        <v>185000</v>
      </c>
      <c r="K14" s="11" t="s">
        <v>30</v>
      </c>
      <c r="L14" s="15">
        <f>H14*J14</f>
        <v>486842.1052631579</v>
      </c>
      <c r="M14" s="15">
        <f>IFERROR(L14/F46,0)</f>
      </c>
      <c r="N14" s="14">
        <f>IFERROR(L14/L34,0)</f>
      </c>
      <c r="O14" s="11" t="s">
        <v>49</v>
      </c>
      <c r="P14" s="11" t="s">
        <v>32</v>
      </c>
      <c r="Q14" s="12" t="s">
        <v>50</v>
      </c>
    </row>
    <row r="15" ht="18" customHeight="1" spans="1:17" x14ac:dyDescent="0.25">
      <c r="A15" s="6">
        <v>5</v>
      </c>
      <c r="B15" s="6" t="s">
        <v>51</v>
      </c>
      <c r="C15" s="7" t="s">
        <v>52</v>
      </c>
      <c r="D15" s="6" t="s">
        <v>36</v>
      </c>
      <c r="E15" s="6" t="s">
        <v>43</v>
      </c>
      <c r="F15" s="8">
        <v>45</v>
      </c>
      <c r="G15" s="9">
        <v>1</v>
      </c>
      <c r="H15" s="8">
        <f>IFERROR(F15/G15,0)</f>
        <v>45</v>
      </c>
      <c r="I15" s="6" t="s">
        <v>29</v>
      </c>
      <c r="J15" s="10">
        <v>850</v>
      </c>
      <c r="K15" s="6" t="s">
        <v>38</v>
      </c>
      <c r="L15" s="10">
        <f>H15*J15</f>
        <v>38250</v>
      </c>
      <c r="M15" s="10">
        <f>IFERROR(L15/F46,0)</f>
      </c>
      <c r="N15" s="9">
        <f>IFERROR(L15/L34,0)</f>
      </c>
      <c r="O15" s="6" t="s">
        <v>31</v>
      </c>
      <c r="P15" s="6" t="s">
        <v>32</v>
      </c>
      <c r="Q15" s="7" t="s">
        <v>53</v>
      </c>
    </row>
    <row r="16" ht="18" customHeight="1" spans="1:17" x14ac:dyDescent="0.25">
      <c r="A16" s="11">
        <v>6</v>
      </c>
      <c r="B16" s="11" t="s">
        <v>54</v>
      </c>
      <c r="C16" s="12" t="s">
        <v>55</v>
      </c>
      <c r="D16" s="11" t="s">
        <v>42</v>
      </c>
      <c r="E16" s="11" t="s">
        <v>43</v>
      </c>
      <c r="F16" s="13">
        <v>800</v>
      </c>
      <c r="G16" s="14">
        <v>1</v>
      </c>
      <c r="H16" s="13">
        <f>IFERROR(F16/G16,0)</f>
        <v>800</v>
      </c>
      <c r="I16" s="11" t="s">
        <v>44</v>
      </c>
      <c r="J16" s="15">
        <v>120</v>
      </c>
      <c r="K16" s="11" t="s">
        <v>38</v>
      </c>
      <c r="L16" s="15">
        <f>H16*J16</f>
        <v>96000</v>
      </c>
      <c r="M16" s="15">
        <f>IFERROR(L16/F46,0)</f>
      </c>
      <c r="N16" s="14">
        <f>IFERROR(L16/L34,0)</f>
      </c>
      <c r="O16" s="11" t="s">
        <v>31</v>
      </c>
      <c r="P16" s="11" t="s">
        <v>32</v>
      </c>
      <c r="Q16" s="12" t="s">
        <v>45</v>
      </c>
    </row>
    <row r="17" ht="18" customHeight="1" spans="1:17" x14ac:dyDescent="0.25">
      <c r="A17" s="5" t="s">
        <v>56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ht="18" customHeight="1" spans="1:17" x14ac:dyDescent="0.25">
      <c r="A18" s="11">
        <v>7</v>
      </c>
      <c r="B18" s="11" t="s">
        <v>57</v>
      </c>
      <c r="C18" s="12" t="s">
        <v>58</v>
      </c>
      <c r="D18" s="11" t="s">
        <v>59</v>
      </c>
      <c r="E18" s="11" t="s">
        <v>60</v>
      </c>
      <c r="F18" s="13">
        <v>95</v>
      </c>
      <c r="G18" s="14">
        <v>0.96</v>
      </c>
      <c r="H18" s="13">
        <f>IFERROR(F18/G18,0)</f>
        <v>98.95833333333334</v>
      </c>
      <c r="I18" s="11" t="s">
        <v>29</v>
      </c>
      <c r="J18" s="15">
        <v>0</v>
      </c>
      <c r="K18" s="11" t="s">
        <v>61</v>
      </c>
      <c r="L18" s="15">
        <f>H18*J18</f>
        <v>0</v>
      </c>
      <c r="M18" s="15">
        <f>IFERROR(L18/F46,0)</f>
      </c>
      <c r="N18" s="14">
        <f>IFERROR(L18/L34,0)</f>
      </c>
      <c r="O18" s="11" t="s">
        <v>31</v>
      </c>
      <c r="P18" s="11" t="s">
        <v>32</v>
      </c>
      <c r="Q18" s="12" t="s">
        <v>62</v>
      </c>
    </row>
    <row r="19" ht="18" customHeight="1" spans="1:17" x14ac:dyDescent="0.25">
      <c r="A19" s="6">
        <v>8</v>
      </c>
      <c r="B19" s="6" t="s">
        <v>63</v>
      </c>
      <c r="C19" s="7" t="s">
        <v>64</v>
      </c>
      <c r="D19" s="6" t="s">
        <v>36</v>
      </c>
      <c r="E19" s="6" t="s">
        <v>37</v>
      </c>
      <c r="F19" s="8">
        <v>60</v>
      </c>
      <c r="G19" s="9">
        <v>0.98</v>
      </c>
      <c r="H19" s="8">
        <f>IFERROR(F19/G19,0)</f>
        <v>61.224489795918366</v>
      </c>
      <c r="I19" s="6" t="s">
        <v>29</v>
      </c>
      <c r="J19" s="10">
        <v>28000</v>
      </c>
      <c r="K19" s="6" t="s">
        <v>30</v>
      </c>
      <c r="L19" s="10">
        <f>H19*J19</f>
        <v>1714285.7142857143</v>
      </c>
      <c r="M19" s="10">
        <f>IFERROR(L19/F46,0)</f>
      </c>
      <c r="N19" s="9">
        <f>IFERROR(L19/L34,0)</f>
      </c>
      <c r="O19" s="6" t="s">
        <v>31</v>
      </c>
      <c r="P19" s="6" t="s">
        <v>32</v>
      </c>
      <c r="Q19" s="7" t="s">
        <v>65</v>
      </c>
    </row>
    <row r="20" ht="18" customHeight="1" spans="1:17" x14ac:dyDescent="0.25">
      <c r="A20" s="11">
        <v>9</v>
      </c>
      <c r="B20" s="11" t="s">
        <v>66</v>
      </c>
      <c r="C20" s="12" t="s">
        <v>67</v>
      </c>
      <c r="D20" s="11" t="s">
        <v>42</v>
      </c>
      <c r="E20" s="11" t="s">
        <v>43</v>
      </c>
      <c r="F20" s="13">
        <v>600</v>
      </c>
      <c r="G20" s="14">
        <v>1</v>
      </c>
      <c r="H20" s="13">
        <f>IFERROR(F20/G20,0)</f>
        <v>600</v>
      </c>
      <c r="I20" s="11" t="s">
        <v>44</v>
      </c>
      <c r="J20" s="15">
        <v>95</v>
      </c>
      <c r="K20" s="11" t="s">
        <v>38</v>
      </c>
      <c r="L20" s="15">
        <f>H20*J20</f>
        <v>57000</v>
      </c>
      <c r="M20" s="15">
        <f>IFERROR(L20/F46,0)</f>
      </c>
      <c r="N20" s="14">
        <f>IFERROR(L20/L34,0)</f>
      </c>
      <c r="O20" s="11" t="s">
        <v>31</v>
      </c>
      <c r="P20" s="11" t="s">
        <v>32</v>
      </c>
      <c r="Q20" s="12" t="s">
        <v>45</v>
      </c>
    </row>
    <row r="21" ht="18" customHeight="1" spans="1:17" x14ac:dyDescent="0.25">
      <c r="A21" s="6">
        <v>10</v>
      </c>
      <c r="B21" s="6" t="s">
        <v>68</v>
      </c>
      <c r="C21" s="7" t="s">
        <v>69</v>
      </c>
      <c r="D21" s="6" t="s">
        <v>36</v>
      </c>
      <c r="E21" s="6" t="s">
        <v>43</v>
      </c>
      <c r="F21" s="8">
        <v>30</v>
      </c>
      <c r="G21" s="9">
        <v>1</v>
      </c>
      <c r="H21" s="8">
        <f>IFERROR(F21/G21,0)</f>
        <v>30</v>
      </c>
      <c r="I21" s="6" t="s">
        <v>44</v>
      </c>
      <c r="J21" s="10">
        <v>45</v>
      </c>
      <c r="K21" s="6" t="s">
        <v>38</v>
      </c>
      <c r="L21" s="10">
        <f>H21*J21</f>
        <v>1350</v>
      </c>
      <c r="M21" s="10">
        <f>IFERROR(L21/F46,0)</f>
      </c>
      <c r="N21" s="9">
        <f>IFERROR(L21/L34,0)</f>
      </c>
      <c r="O21" s="6" t="s">
        <v>31</v>
      </c>
      <c r="P21" s="6" t="s">
        <v>32</v>
      </c>
      <c r="Q21" s="7" t="s">
        <v>53</v>
      </c>
    </row>
    <row r="22" ht="18" customHeight="1" spans="1:17" x14ac:dyDescent="0.25">
      <c r="A22" s="5" t="s">
        <v>70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ht="18" customHeight="1" spans="1:17" x14ac:dyDescent="0.25">
      <c r="A23" s="6">
        <v>11</v>
      </c>
      <c r="B23" s="6" t="s">
        <v>71</v>
      </c>
      <c r="C23" s="7" t="s">
        <v>72</v>
      </c>
      <c r="D23" s="6" t="s">
        <v>59</v>
      </c>
      <c r="E23" s="6" t="s">
        <v>60</v>
      </c>
      <c r="F23" s="8">
        <v>80</v>
      </c>
      <c r="G23" s="9">
        <v>0.97</v>
      </c>
      <c r="H23" s="8">
        <f>IFERROR(F23/G23,0)</f>
        <v>82.47422680412372</v>
      </c>
      <c r="I23" s="6" t="s">
        <v>29</v>
      </c>
      <c r="J23" s="10">
        <v>0</v>
      </c>
      <c r="K23" s="6" t="s">
        <v>61</v>
      </c>
      <c r="L23" s="10">
        <f>H23*J23</f>
        <v>0</v>
      </c>
      <c r="M23" s="10">
        <f>IFERROR(L23/F46,0)</f>
      </c>
      <c r="N23" s="9">
        <f>IFERROR(L23/L34,0)</f>
      </c>
      <c r="O23" s="6" t="s">
        <v>31</v>
      </c>
      <c r="P23" s="6" t="s">
        <v>32</v>
      </c>
      <c r="Q23" s="7" t="s">
        <v>73</v>
      </c>
    </row>
    <row r="24" ht="18" customHeight="1" spans="1:17" x14ac:dyDescent="0.25">
      <c r="A24" s="11">
        <v>12</v>
      </c>
      <c r="B24" s="11" t="s">
        <v>74</v>
      </c>
      <c r="C24" s="12" t="s">
        <v>75</v>
      </c>
      <c r="D24" s="11" t="s">
        <v>42</v>
      </c>
      <c r="E24" s="11" t="s">
        <v>43</v>
      </c>
      <c r="F24" s="13">
        <v>400</v>
      </c>
      <c r="G24" s="14">
        <v>1</v>
      </c>
      <c r="H24" s="13">
        <f>IFERROR(F24/G24,0)</f>
        <v>400</v>
      </c>
      <c r="I24" s="11" t="s">
        <v>44</v>
      </c>
      <c r="J24" s="15">
        <v>110</v>
      </c>
      <c r="K24" s="11" t="s">
        <v>38</v>
      </c>
      <c r="L24" s="15">
        <f>H24*J24</f>
        <v>44000</v>
      </c>
      <c r="M24" s="15">
        <f>IFERROR(L24/F46,0)</f>
      </c>
      <c r="N24" s="14">
        <f>IFERROR(L24/L34,0)</f>
      </c>
      <c r="O24" s="11" t="s">
        <v>31</v>
      </c>
      <c r="P24" s="11" t="s">
        <v>32</v>
      </c>
      <c r="Q24" s="12" t="s">
        <v>45</v>
      </c>
    </row>
    <row r="25" ht="18" customHeight="1" spans="1:17" x14ac:dyDescent="0.25">
      <c r="A25" s="6">
        <v>13</v>
      </c>
      <c r="B25" s="6" t="s">
        <v>76</v>
      </c>
      <c r="C25" s="7" t="s">
        <v>77</v>
      </c>
      <c r="D25" s="6" t="s">
        <v>78</v>
      </c>
      <c r="E25" s="6" t="s">
        <v>43</v>
      </c>
      <c r="F25" s="8">
        <v>5</v>
      </c>
      <c r="G25" s="9">
        <v>1</v>
      </c>
      <c r="H25" s="8">
        <f>IFERROR(F25/G25,0)</f>
        <v>5</v>
      </c>
      <c r="I25" s="6" t="s">
        <v>29</v>
      </c>
      <c r="J25" s="10">
        <v>3200</v>
      </c>
      <c r="K25" s="6" t="s">
        <v>38</v>
      </c>
      <c r="L25" s="10">
        <f>H25*J25</f>
        <v>16000</v>
      </c>
      <c r="M25" s="10">
        <f>IFERROR(L25/F46,0)</f>
      </c>
      <c r="N25" s="9">
        <f>IFERROR(L25/L34,0)</f>
      </c>
      <c r="O25" s="6" t="s">
        <v>31</v>
      </c>
      <c r="P25" s="6" t="s">
        <v>32</v>
      </c>
      <c r="Q25" s="7" t="s">
        <v>53</v>
      </c>
    </row>
    <row r="26" ht="18" customHeight="1" spans="1:17" x14ac:dyDescent="0.25">
      <c r="A26" s="11">
        <v>14</v>
      </c>
      <c r="B26" s="11" t="s">
        <v>79</v>
      </c>
      <c r="C26" s="12" t="s">
        <v>80</v>
      </c>
      <c r="D26" s="11" t="s">
        <v>36</v>
      </c>
      <c r="E26" s="11" t="s">
        <v>81</v>
      </c>
      <c r="F26" s="13">
        <v>200</v>
      </c>
      <c r="G26" s="14">
        <v>1</v>
      </c>
      <c r="H26" s="13">
        <f>IFERROR(F26/G26,0)</f>
        <v>200</v>
      </c>
      <c r="I26" s="11" t="s">
        <v>44</v>
      </c>
      <c r="J26" s="15">
        <v>15</v>
      </c>
      <c r="K26" s="11" t="s">
        <v>38</v>
      </c>
      <c r="L26" s="15">
        <f>H26*J26</f>
        <v>3000</v>
      </c>
      <c r="M26" s="15">
        <f>IFERROR(L26/F46,0)</f>
      </c>
      <c r="N26" s="14">
        <f>IFERROR(L26/L34,0)</f>
      </c>
      <c r="O26" s="11" t="s">
        <v>31</v>
      </c>
      <c r="P26" s="11" t="s">
        <v>32</v>
      </c>
      <c r="Q26" s="12" t="s">
        <v>82</v>
      </c>
    </row>
    <row r="28" ht="18" customHeight="1" spans="1:17" x14ac:dyDescent="0.25">
      <c r="A28" s="16" t="s">
        <v>83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ht="18" customHeight="1" spans="1:17" x14ac:dyDescent="0.25">
      <c r="A29" s="17">
        <v>15</v>
      </c>
      <c r="B29" s="17" t="s">
        <v>84</v>
      </c>
      <c r="C29" s="18" t="s">
        <v>85</v>
      </c>
      <c r="D29" s="17" t="s">
        <v>86</v>
      </c>
      <c r="E29" s="17" t="s">
        <v>53</v>
      </c>
      <c r="F29" s="19">
        <v>400</v>
      </c>
      <c r="G29" s="20">
        <v>0.85</v>
      </c>
      <c r="H29" s="19">
        <f>F29*G29</f>
        <v>340</v>
      </c>
      <c r="I29" s="17" t="s">
        <v>44</v>
      </c>
      <c r="J29" s="21">
        <v>65</v>
      </c>
      <c r="K29" s="17" t="s">
        <v>53</v>
      </c>
      <c r="L29" s="21">
        <f>-H29*J29</f>
        <v>-22100</v>
      </c>
      <c r="M29" s="21">
        <f>IFERROR(L29/F46,0)</f>
      </c>
      <c r="N29" s="20">
        <f>IFERROR(L29/L34,0)</f>
      </c>
      <c r="O29" s="17" t="s">
        <v>53</v>
      </c>
      <c r="P29" s="17" t="s">
        <v>53</v>
      </c>
      <c r="Q29" s="18" t="s">
        <v>87</v>
      </c>
    </row>
    <row r="30" ht="18" customHeight="1" spans="1:17" x14ac:dyDescent="0.25">
      <c r="A30" s="17">
        <v>16</v>
      </c>
      <c r="B30" s="17" t="s">
        <v>88</v>
      </c>
      <c r="C30" s="18" t="s">
        <v>89</v>
      </c>
      <c r="D30" s="17" t="s">
        <v>86</v>
      </c>
      <c r="E30" s="17" t="s">
        <v>53</v>
      </c>
      <c r="F30" s="19">
        <v>640</v>
      </c>
      <c r="G30" s="20">
        <v>0.8</v>
      </c>
      <c r="H30" s="19">
        <f>F30*G30</f>
        <v>512</v>
      </c>
      <c r="I30" s="17" t="s">
        <v>44</v>
      </c>
      <c r="J30" s="21">
        <v>120</v>
      </c>
      <c r="K30" s="17" t="s">
        <v>53</v>
      </c>
      <c r="L30" s="21">
        <f>-H30*J30</f>
        <v>-61440</v>
      </c>
      <c r="M30" s="21">
        <f>IFERROR(L30/F46,0)</f>
      </c>
      <c r="N30" s="20">
        <f>IFERROR(L30/L34,0)</f>
      </c>
      <c r="O30" s="17" t="s">
        <v>53</v>
      </c>
      <c r="P30" s="17" t="s">
        <v>53</v>
      </c>
      <c r="Q30" s="18" t="s">
        <v>90</v>
      </c>
    </row>
    <row r="31" ht="18" customHeight="1" spans="1:17" x14ac:dyDescent="0.25">
      <c r="A31" s="17">
        <v>17</v>
      </c>
      <c r="B31" s="17" t="s">
        <v>91</v>
      </c>
      <c r="C31" s="18" t="s">
        <v>92</v>
      </c>
      <c r="D31" s="17" t="s">
        <v>86</v>
      </c>
      <c r="E31" s="17" t="s">
        <v>53</v>
      </c>
      <c r="F31" s="19">
        <v>480</v>
      </c>
      <c r="G31" s="20">
        <v>0.75</v>
      </c>
      <c r="H31" s="19">
        <f>F31*G31</f>
        <v>360</v>
      </c>
      <c r="I31" s="17" t="s">
        <v>44</v>
      </c>
      <c r="J31" s="21">
        <v>95</v>
      </c>
      <c r="K31" s="17" t="s">
        <v>53</v>
      </c>
      <c r="L31" s="21">
        <f>-H31*J31</f>
        <v>-34200</v>
      </c>
      <c r="M31" s="21">
        <f>IFERROR(L31/F46,0)</f>
      </c>
      <c r="N31" s="20">
        <f>IFERROR(L31/L34,0)</f>
      </c>
      <c r="O31" s="17" t="s">
        <v>53</v>
      </c>
      <c r="P31" s="17" t="s">
        <v>53</v>
      </c>
      <c r="Q31" s="18" t="s">
        <v>93</v>
      </c>
    </row>
    <row r="32" ht="18" customHeight="1" spans="1:17" x14ac:dyDescent="0.25">
      <c r="A32" s="17">
        <v>18</v>
      </c>
      <c r="B32" s="17" t="s">
        <v>94</v>
      </c>
      <c r="C32" s="18" t="s">
        <v>95</v>
      </c>
      <c r="D32" s="17" t="s">
        <v>86</v>
      </c>
      <c r="E32" s="17" t="s">
        <v>53</v>
      </c>
      <c r="F32" s="19">
        <v>320</v>
      </c>
      <c r="G32" s="20">
        <v>0.82</v>
      </c>
      <c r="H32" s="19">
        <f>F32*G32</f>
        <v>262.4</v>
      </c>
      <c r="I32" s="17" t="s">
        <v>44</v>
      </c>
      <c r="J32" s="21">
        <v>110</v>
      </c>
      <c r="K32" s="17" t="s">
        <v>53</v>
      </c>
      <c r="L32" s="21">
        <f>-H32*J32</f>
        <v>-28863.999999999996</v>
      </c>
      <c r="M32" s="21">
        <f>IFERROR(L32/F46,0)</f>
      </c>
      <c r="N32" s="20">
        <f>IFERROR(L32/L34,0)</f>
      </c>
      <c r="O32" s="17" t="s">
        <v>53</v>
      </c>
      <c r="P32" s="17" t="s">
        <v>53</v>
      </c>
      <c r="Q32" s="18" t="s">
        <v>96</v>
      </c>
    </row>
    <row r="33" ht="5" customHeight="1" x14ac:dyDescent="0.25"/>
    <row r="34" ht="20" customHeight="1" spans="1:17" x14ac:dyDescent="0.25">
      <c r="A34" s="22" t="s">
        <v>97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3">
        <f>L11+L12+L13+L14+L15+L16+L18+L19+L20+L21+L23+L24+L25+L26</f>
      </c>
      <c r="M34" s="24"/>
      <c r="N34" s="24"/>
      <c r="O34" s="24"/>
      <c r="P34" s="24"/>
      <c r="Q34" s="24"/>
    </row>
    <row r="35" ht="20" customHeight="1" spans="1:17" x14ac:dyDescent="0.25">
      <c r="A35" s="25" t="s">
        <v>98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6">
        <f>L29+L30+L31+L32</f>
      </c>
      <c r="M35" s="27"/>
      <c r="N35" s="27"/>
      <c r="O35" s="27"/>
      <c r="P35" s="27"/>
      <c r="Q35" s="27"/>
    </row>
    <row r="36" ht="5" customHeight="1" x14ac:dyDescent="0.25"/>
    <row r="37" ht="24" customHeight="1" spans="1:17" x14ac:dyDescent="0.25">
      <c r="A37" s="28" t="s">
        <v>99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9">
        <f>L34+L35</f>
      </c>
      <c r="M37" s="30"/>
      <c r="N37" s="30"/>
      <c r="O37" s="30"/>
      <c r="P37" s="30"/>
      <c r="Q37" s="30"/>
    </row>
    <row r="38" ht="8" customHeight="1" x14ac:dyDescent="0.25"/>
    <row r="39" ht="18" customHeight="1" spans="1:17" x14ac:dyDescent="0.25">
      <c r="A39" s="5" t="s">
        <v>100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ht="18" customHeight="1" spans="1:17" x14ac:dyDescent="0.25">
      <c r="A40" s="31">
        <v>75</v>
      </c>
      <c r="B40" s="31"/>
      <c r="C40" s="31"/>
      <c r="D40" s="31"/>
      <c r="E40" s="31"/>
      <c r="F40" s="31"/>
      <c r="G40" s="31"/>
      <c r="H40" s="31"/>
      <c r="I40" s="31"/>
      <c r="J40" s="32"/>
      <c r="K40" s="32"/>
      <c r="L40" s="32"/>
      <c r="M40" s="32"/>
      <c r="N40" s="32"/>
      <c r="O40" s="32"/>
      <c r="P40" s="32"/>
      <c r="Q40" s="32"/>
    </row>
    <row r="41" ht="18" customHeight="1" spans="1:17" x14ac:dyDescent="0.25">
      <c r="A41" s="33">
        <v>0.96</v>
      </c>
      <c r="B41" s="33"/>
      <c r="C41" s="33"/>
      <c r="D41" s="33"/>
      <c r="E41" s="33"/>
      <c r="F41" s="33"/>
      <c r="G41" s="33"/>
      <c r="H41" s="33"/>
      <c r="I41" s="33"/>
      <c r="J41" s="32"/>
      <c r="K41" s="32"/>
      <c r="L41" s="32"/>
      <c r="M41" s="32"/>
      <c r="N41" s="32"/>
      <c r="O41" s="32"/>
      <c r="P41" s="32"/>
      <c r="Q41" s="32"/>
    </row>
    <row r="42" ht="18" customHeight="1" spans="1:17" x14ac:dyDescent="0.25">
      <c r="A42" s="33">
        <v>0.94</v>
      </c>
      <c r="B42" s="33"/>
      <c r="C42" s="33"/>
      <c r="D42" s="33"/>
      <c r="E42" s="33"/>
      <c r="F42" s="33"/>
      <c r="G42" s="33"/>
      <c r="H42" s="33"/>
      <c r="I42" s="33"/>
      <c r="J42" s="32"/>
      <c r="K42" s="32"/>
      <c r="L42" s="32"/>
      <c r="M42" s="32"/>
      <c r="N42" s="32"/>
      <c r="O42" s="32"/>
      <c r="P42" s="32"/>
      <c r="Q42" s="32"/>
    </row>
    <row r="43" ht="18" customHeight="1" spans="1:17" x14ac:dyDescent="0.25">
      <c r="A43" s="33">
        <v>0.95</v>
      </c>
      <c r="B43" s="33"/>
      <c r="C43" s="33"/>
      <c r="D43" s="33"/>
      <c r="E43" s="33"/>
      <c r="F43" s="33"/>
      <c r="G43" s="33"/>
      <c r="H43" s="33"/>
      <c r="I43" s="33"/>
      <c r="J43" s="32"/>
      <c r="K43" s="32"/>
      <c r="L43" s="32"/>
      <c r="M43" s="32"/>
      <c r="N43" s="32"/>
      <c r="O43" s="32"/>
      <c r="P43" s="32"/>
      <c r="Q43" s="32"/>
    </row>
    <row r="44" ht="18" customHeight="1" spans="1:17" x14ac:dyDescent="0.25">
      <c r="A44" s="33">
        <f>F41*F42*F43</f>
      </c>
      <c r="B44" s="33"/>
      <c r="C44" s="33"/>
      <c r="D44" s="33"/>
      <c r="E44" s="33"/>
      <c r="F44" s="33"/>
      <c r="G44" s="33"/>
      <c r="H44" s="33"/>
      <c r="I44" s="33"/>
      <c r="J44" s="32"/>
      <c r="K44" s="32"/>
      <c r="L44" s="32"/>
      <c r="M44" s="32"/>
      <c r="N44" s="32"/>
      <c r="O44" s="32"/>
      <c r="P44" s="32"/>
      <c r="Q44" s="32"/>
    </row>
    <row r="45" ht="18" customHeight="1" spans="1:17" x14ac:dyDescent="0.25">
      <c r="A45" s="31">
        <f>F40*F44</f>
      </c>
      <c r="B45" s="31"/>
      <c r="C45" s="31"/>
      <c r="D45" s="31"/>
      <c r="E45" s="31"/>
      <c r="F45" s="31"/>
      <c r="G45" s="31"/>
      <c r="H45" s="31"/>
      <c r="I45" s="31"/>
      <c r="J45" s="32"/>
      <c r="K45" s="32"/>
      <c r="L45" s="32"/>
      <c r="M45" s="32"/>
      <c r="N45" s="32"/>
      <c r="O45" s="32"/>
      <c r="P45" s="32"/>
      <c r="Q45" s="32"/>
    </row>
    <row r="46" spans="6:6" x14ac:dyDescent="0.25">
      <c r="F46" s="34">
        <f>F45</f>
      </c>
    </row>
    <row r="47" ht="8" customHeight="1" x14ac:dyDescent="0.25"/>
    <row r="48" ht="18" customHeight="1" spans="1:17" x14ac:dyDescent="0.25">
      <c r="A48" s="5" t="s">
        <v>101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ht="18" customHeight="1" spans="1:17" x14ac:dyDescent="0.25">
      <c r="A49" s="35" t="s">
        <v>102</v>
      </c>
      <c r="B49" s="35"/>
      <c r="C49" s="35"/>
      <c r="D49" s="35"/>
      <c r="E49" s="35"/>
      <c r="F49" s="35"/>
      <c r="G49" s="35"/>
      <c r="H49" s="35"/>
      <c r="I49" s="35"/>
      <c r="J49" s="36">
        <f>L34</f>
      </c>
      <c r="K49" s="36"/>
      <c r="L49" s="36"/>
      <c r="M49" s="36"/>
      <c r="N49" s="36"/>
      <c r="O49" s="36"/>
      <c r="P49" s="36"/>
      <c r="Q49" s="36"/>
    </row>
    <row r="50" ht="18" customHeight="1" spans="1:17" x14ac:dyDescent="0.25">
      <c r="A50" s="35" t="s">
        <v>103</v>
      </c>
      <c r="B50" s="35"/>
      <c r="C50" s="35"/>
      <c r="D50" s="35"/>
      <c r="E50" s="35"/>
      <c r="F50" s="35"/>
      <c r="G50" s="35"/>
      <c r="H50" s="35"/>
      <c r="I50" s="35"/>
      <c r="J50" s="36">
        <f>L35</f>
      </c>
      <c r="K50" s="36"/>
      <c r="L50" s="36"/>
      <c r="M50" s="36"/>
      <c r="N50" s="36"/>
      <c r="O50" s="36"/>
      <c r="P50" s="36"/>
      <c r="Q50" s="36"/>
    </row>
    <row r="51" ht="18" customHeight="1" spans="1:17" x14ac:dyDescent="0.25">
      <c r="A51" s="35" t="s">
        <v>104</v>
      </c>
      <c r="B51" s="35"/>
      <c r="C51" s="35"/>
      <c r="D51" s="35"/>
      <c r="E51" s="35"/>
      <c r="F51" s="35"/>
      <c r="G51" s="35"/>
      <c r="H51" s="35"/>
      <c r="I51" s="35"/>
      <c r="J51" s="36">
        <f>L37</f>
      </c>
      <c r="K51" s="36"/>
      <c r="L51" s="36"/>
      <c r="M51" s="36"/>
      <c r="N51" s="36"/>
      <c r="O51" s="36"/>
      <c r="P51" s="36"/>
      <c r="Q51" s="36"/>
    </row>
    <row r="52" ht="18" customHeight="1" spans="1:17" x14ac:dyDescent="0.25">
      <c r="A52" s="35" t="s">
        <v>105</v>
      </c>
      <c r="B52" s="35"/>
      <c r="C52" s="35"/>
      <c r="D52" s="35"/>
      <c r="E52" s="35"/>
      <c r="F52" s="35"/>
      <c r="G52" s="35"/>
      <c r="H52" s="35"/>
      <c r="I52" s="35"/>
      <c r="J52" s="37">
        <f>F45</f>
      </c>
      <c r="K52" s="37"/>
      <c r="L52" s="37"/>
      <c r="M52" s="37"/>
      <c r="N52" s="37"/>
      <c r="O52" s="37"/>
      <c r="P52" s="37"/>
      <c r="Q52" s="37"/>
    </row>
    <row r="53" ht="18" customHeight="1" spans="1:17" x14ac:dyDescent="0.25">
      <c r="A53" s="35" t="s">
        <v>106</v>
      </c>
      <c r="B53" s="35"/>
      <c r="C53" s="35"/>
      <c r="D53" s="35"/>
      <c r="E53" s="35"/>
      <c r="F53" s="35"/>
      <c r="G53" s="35"/>
      <c r="H53" s="35"/>
      <c r="I53" s="35"/>
      <c r="J53" s="36">
        <f>IFERROR(L51/L52,0)</f>
      </c>
      <c r="K53" s="36"/>
      <c r="L53" s="36"/>
      <c r="M53" s="36"/>
      <c r="N53" s="36"/>
      <c r="O53" s="36"/>
      <c r="P53" s="36"/>
      <c r="Q53" s="36"/>
    </row>
    <row r="54" ht="18" customHeight="1" spans="1:17" x14ac:dyDescent="0.25">
      <c r="A54" s="5" t="s">
        <v>107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ht="16" customHeight="1" spans="1:17" x14ac:dyDescent="0.25">
      <c r="A55" s="38" t="s">
        <v>108</v>
      </c>
      <c r="B55" s="38"/>
      <c r="C55" s="38"/>
      <c r="D55" s="39" t="s">
        <v>109</v>
      </c>
      <c r="E55" s="39"/>
      <c r="F55" s="39"/>
      <c r="G55" s="39"/>
      <c r="H55" s="39"/>
      <c r="I55" s="39"/>
      <c r="J55" s="39"/>
      <c r="K55" s="39"/>
      <c r="L55" s="39"/>
      <c r="M55" s="40" t="s">
        <v>110</v>
      </c>
      <c r="N55" s="40"/>
      <c r="O55" s="40"/>
      <c r="P55" s="40"/>
      <c r="Q55" s="40"/>
    </row>
    <row r="56" ht="16" customHeight="1" spans="1:17" x14ac:dyDescent="0.25">
      <c r="A56" s="38" t="s">
        <v>111</v>
      </c>
      <c r="B56" s="38"/>
      <c r="C56" s="38"/>
      <c r="D56" s="39" t="s">
        <v>112</v>
      </c>
      <c r="E56" s="39"/>
      <c r="F56" s="39"/>
      <c r="G56" s="39"/>
      <c r="H56" s="39"/>
      <c r="I56" s="39"/>
      <c r="J56" s="39"/>
      <c r="K56" s="39"/>
      <c r="L56" s="39"/>
      <c r="M56" s="40" t="s">
        <v>113</v>
      </c>
      <c r="N56" s="40"/>
      <c r="O56" s="40"/>
      <c r="P56" s="40"/>
      <c r="Q56" s="40"/>
    </row>
    <row r="57" ht="16" customHeight="1" spans="1:17" x14ac:dyDescent="0.25">
      <c r="A57" s="38" t="s">
        <v>114</v>
      </c>
      <c r="B57" s="38"/>
      <c r="C57" s="38"/>
      <c r="D57" s="39" t="s">
        <v>115</v>
      </c>
      <c r="E57" s="39"/>
      <c r="F57" s="39"/>
      <c r="G57" s="39"/>
      <c r="H57" s="39"/>
      <c r="I57" s="39"/>
      <c r="J57" s="39"/>
      <c r="K57" s="39"/>
      <c r="L57" s="39"/>
      <c r="M57" s="40" t="s">
        <v>116</v>
      </c>
      <c r="N57" s="40"/>
      <c r="O57" s="40"/>
      <c r="P57" s="40"/>
      <c r="Q57" s="40"/>
    </row>
    <row r="58" ht="8" customHeight="1" x14ac:dyDescent="0.25"/>
    <row r="59" ht="18" customHeight="1" spans="1:17" x14ac:dyDescent="0.25">
      <c r="A59" s="5" t="s">
        <v>117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ht="15" customHeight="1" spans="1:17" x14ac:dyDescent="0.25">
      <c r="A60" s="41" t="s">
        <v>118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</row>
    <row r="61" ht="15" customHeight="1" spans="1:17" x14ac:dyDescent="0.25">
      <c r="A61" s="42" t="s">
        <v>119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</row>
    <row r="62" ht="15" customHeight="1" spans="1:17" x14ac:dyDescent="0.25">
      <c r="A62" s="41" t="s">
        <v>120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</row>
    <row r="63" ht="15" customHeight="1" spans="1:17" x14ac:dyDescent="0.25">
      <c r="A63" s="42" t="s">
        <v>121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</row>
    <row r="64" ht="15" customHeight="1" spans="1:17" x14ac:dyDescent="0.25">
      <c r="A64" s="41" t="s">
        <v>122</v>
      </c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</row>
    <row r="65" ht="15" customHeight="1" spans="1:17" x14ac:dyDescent="0.25">
      <c r="A65" s="42" t="s">
        <v>123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</row>
    <row r="66" ht="15" customHeight="1" spans="1:17" x14ac:dyDescent="0.25">
      <c r="A66" s="41" t="s">
        <v>124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</row>
    <row r="67" ht="15" customHeight="1" spans="1:17" x14ac:dyDescent="0.25">
      <c r="A67" s="42" t="s">
        <v>125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</row>
    <row r="68" ht="15" customHeight="1" spans="1:17" x14ac:dyDescent="0.25">
      <c r="A68" s="41" t="s">
        <v>126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</row>
    <row r="69" ht="15" customHeight="1" spans="1:17" x14ac:dyDescent="0.25">
      <c r="A69" s="42" t="s">
        <v>127</v>
      </c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</row>
  </sheetData>
  <mergeCells count="59">
    <mergeCell ref="A1:Q1"/>
    <mergeCell ref="A2:Q2"/>
    <mergeCell ref="A3:Q3"/>
    <mergeCell ref="A4:Q4"/>
    <mergeCell ref="A5:Q5"/>
    <mergeCell ref="A6:Q6"/>
    <mergeCell ref="A7:Q7"/>
    <mergeCell ref="A10:Q10"/>
    <mergeCell ref="A17:Q17"/>
    <mergeCell ref="A22:Q22"/>
    <mergeCell ref="A28:Q28"/>
    <mergeCell ref="A34:K34"/>
    <mergeCell ref="A35:K35"/>
    <mergeCell ref="A37:K37"/>
    <mergeCell ref="A39:Q39"/>
    <mergeCell ref="A40:I40"/>
    <mergeCell ref="J40:Q40"/>
    <mergeCell ref="A41:I41"/>
    <mergeCell ref="J41:Q41"/>
    <mergeCell ref="A42:I42"/>
    <mergeCell ref="J42:Q42"/>
    <mergeCell ref="A43:I43"/>
    <mergeCell ref="J43:Q43"/>
    <mergeCell ref="A44:I44"/>
    <mergeCell ref="J44:Q44"/>
    <mergeCell ref="A45:I45"/>
    <mergeCell ref="J45:Q45"/>
    <mergeCell ref="A48:Q48"/>
    <mergeCell ref="A49:I49"/>
    <mergeCell ref="J49:Q49"/>
    <mergeCell ref="A50:I50"/>
    <mergeCell ref="J50:Q50"/>
    <mergeCell ref="A51:I51"/>
    <mergeCell ref="J51:Q51"/>
    <mergeCell ref="A52:I52"/>
    <mergeCell ref="J52:Q52"/>
    <mergeCell ref="A53:I53"/>
    <mergeCell ref="J53:Q53"/>
    <mergeCell ref="A54:Q54"/>
    <mergeCell ref="A55:C55"/>
    <mergeCell ref="D55:L55"/>
    <mergeCell ref="M55:Q55"/>
    <mergeCell ref="A56:C56"/>
    <mergeCell ref="D56:L56"/>
    <mergeCell ref="M56:Q56"/>
    <mergeCell ref="A57:C57"/>
    <mergeCell ref="D57:L57"/>
    <mergeCell ref="M57:Q57"/>
    <mergeCell ref="A59:Q59"/>
    <mergeCell ref="A60:Q60"/>
    <mergeCell ref="A61:Q61"/>
    <mergeCell ref="A62:Q62"/>
    <mergeCell ref="A63:Q63"/>
    <mergeCell ref="A64:Q64"/>
    <mergeCell ref="A65:Q65"/>
    <mergeCell ref="A66:Q66"/>
    <mergeCell ref="A67:Q67"/>
    <mergeCell ref="A68:Q68"/>
    <mergeCell ref="A69:Q6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M11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6" customWidth="1"/>
    <col min="2" max="2" width="28" customWidth="1"/>
    <col min="3" max="8" width="14" customWidth="1"/>
    <col min="9" max="11" width="16" customWidth="1"/>
    <col min="12" max="12" width="12" customWidth="1"/>
    <col min="13" max="13" width="30" customWidth="1"/>
  </cols>
  <sheetData>
    <row r="1" ht="28" customHeight="1" spans="1:13" x14ac:dyDescent="0.25">
      <c r="A1" s="43" t="s">
        <v>128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ht="14" customHeight="1" spans="1:13" x14ac:dyDescent="0.25">
      <c r="A2" s="44" t="s">
        <v>129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ht="40" customHeight="1" spans="1:13" x14ac:dyDescent="0.25">
      <c r="A3" s="4" t="s">
        <v>130</v>
      </c>
      <c r="B3" s="4" t="s">
        <v>131</v>
      </c>
      <c r="C3" s="4" t="s">
        <v>132</v>
      </c>
      <c r="D3" s="4" t="s">
        <v>133</v>
      </c>
      <c r="E3" s="4" t="s">
        <v>134</v>
      </c>
      <c r="F3" s="4" t="s">
        <v>135</v>
      </c>
      <c r="G3" s="4" t="s">
        <v>136</v>
      </c>
      <c r="H3" s="4" t="s">
        <v>137</v>
      </c>
      <c r="I3" s="4" t="s">
        <v>138</v>
      </c>
      <c r="J3" s="4" t="s">
        <v>139</v>
      </c>
      <c r="K3" s="4" t="s">
        <v>140</v>
      </c>
      <c r="L3" s="4" t="s">
        <v>141</v>
      </c>
      <c r="M3" s="4" t="s">
        <v>23</v>
      </c>
    </row>
    <row r="4" ht="18" customHeight="1" spans="1:13" x14ac:dyDescent="0.25">
      <c r="A4" s="11">
        <v>1</v>
      </c>
      <c r="B4" s="12" t="s">
        <v>26</v>
      </c>
      <c r="C4" s="13">
        <v>122.45</v>
      </c>
      <c r="D4" s="13">
        <v>119.8</v>
      </c>
      <c r="E4" s="13">
        <f>D4-C4</f>
      </c>
      <c r="F4" s="15">
        <v>45000</v>
      </c>
      <c r="G4" s="15">
        <v>46200</v>
      </c>
      <c r="H4" s="15">
        <f>G4-F4</f>
      </c>
      <c r="I4" s="15">
        <f>C4*F4</f>
      </c>
      <c r="J4" s="15">
        <f>D4*G4</f>
      </c>
      <c r="K4" s="15">
        <f>J4-I4</f>
      </c>
      <c r="L4" s="14">
        <f>IFERROR(K4/I4,0)</f>
      </c>
      <c r="M4" s="12" t="s">
        <v>142</v>
      </c>
    </row>
    <row r="5" ht="18" customHeight="1" spans="1:13" x14ac:dyDescent="0.25">
      <c r="A5" s="6">
        <v>2</v>
      </c>
      <c r="B5" s="7" t="s">
        <v>35</v>
      </c>
      <c r="C5" s="8">
        <v>87.63</v>
      </c>
      <c r="D5" s="8">
        <v>89.1</v>
      </c>
      <c r="E5" s="8">
        <f>D5-C5</f>
      </c>
      <c r="F5" s="10">
        <v>12500</v>
      </c>
      <c r="G5" s="10">
        <v>12500</v>
      </c>
      <c r="H5" s="10">
        <f>G5-F5</f>
      </c>
      <c r="I5" s="10">
        <f>C5*F5</f>
      </c>
      <c r="J5" s="10">
        <f>D5*G5</f>
      </c>
      <c r="K5" s="10">
        <f>J5-I5</f>
      </c>
      <c r="L5" s="9">
        <f>IFERROR(K5/I5,0)</f>
      </c>
      <c r="M5" s="7" t="s">
        <v>143</v>
      </c>
    </row>
    <row r="6" ht="18" customHeight="1" spans="1:13" x14ac:dyDescent="0.25">
      <c r="A6" s="11">
        <v>3</v>
      </c>
      <c r="B6" s="12" t="s">
        <v>47</v>
      </c>
      <c r="C6" s="13">
        <v>2.63</v>
      </c>
      <c r="D6" s="13">
        <v>2.63</v>
      </c>
      <c r="E6" s="13">
        <f>D6-C6</f>
      </c>
      <c r="F6" s="15">
        <v>185000</v>
      </c>
      <c r="G6" s="15">
        <v>192500</v>
      </c>
      <c r="H6" s="15">
        <f>G6-F6</f>
      </c>
      <c r="I6" s="15">
        <f>C6*F6</f>
      </c>
      <c r="J6" s="15">
        <f>D6*G6</f>
      </c>
      <c r="K6" s="15">
        <f>J6-I6</f>
      </c>
      <c r="L6" s="14">
        <f>IFERROR(K6/I6,0)</f>
      </c>
      <c r="M6" s="12" t="s">
        <v>144</v>
      </c>
    </row>
    <row r="7" ht="18" customHeight="1" spans="1:13" x14ac:dyDescent="0.25">
      <c r="A7" s="6">
        <v>4</v>
      </c>
      <c r="B7" s="7" t="s">
        <v>145</v>
      </c>
      <c r="C7" s="8">
        <v>510.2</v>
      </c>
      <c r="D7" s="8">
        <v>498</v>
      </c>
      <c r="E7" s="8">
        <f>D7-C7</f>
      </c>
      <c r="F7" s="10">
        <v>65</v>
      </c>
      <c r="G7" s="10">
        <v>65</v>
      </c>
      <c r="H7" s="10">
        <f>G7-F7</f>
      </c>
      <c r="I7" s="10">
        <f>C7*F7</f>
      </c>
      <c r="J7" s="10">
        <f>D7*G7</f>
      </c>
      <c r="K7" s="10">
        <f>J7-I7</f>
      </c>
      <c r="L7" s="9">
        <f>IFERROR(K7/I7,0)</f>
      </c>
      <c r="M7" s="7" t="s">
        <v>146</v>
      </c>
    </row>
    <row r="8" ht="18" customHeight="1" spans="1:13" x14ac:dyDescent="0.25">
      <c r="A8" s="11">
        <v>5</v>
      </c>
      <c r="B8" s="12" t="s">
        <v>64</v>
      </c>
      <c r="C8" s="13">
        <v>61.22</v>
      </c>
      <c r="D8" s="13">
        <v>62.5</v>
      </c>
      <c r="E8" s="13">
        <f>D8-C8</f>
      </c>
      <c r="F8" s="15">
        <v>28000</v>
      </c>
      <c r="G8" s="15">
        <v>27500</v>
      </c>
      <c r="H8" s="15">
        <f>G8-F8</f>
      </c>
      <c r="I8" s="15">
        <f>C8*F8</f>
      </c>
      <c r="J8" s="15">
        <f>D8*G8</f>
      </c>
      <c r="K8" s="15">
        <f>J8-I8</f>
      </c>
      <c r="L8" s="14">
        <f>IFERROR(K8/I8,0)</f>
      </c>
      <c r="M8" s="12" t="s">
        <v>147</v>
      </c>
    </row>
    <row r="9" ht="20" customHeight="1" spans="1:13" x14ac:dyDescent="0.25">
      <c r="A9" s="45" t="s">
        <v>148</v>
      </c>
      <c r="B9" s="45"/>
      <c r="C9" s="45"/>
      <c r="D9" s="45"/>
      <c r="E9" s="45"/>
      <c r="F9" s="45"/>
      <c r="G9" s="45"/>
      <c r="H9" s="45"/>
      <c r="I9" s="46">
        <f>SUM(I4:I8)</f>
      </c>
      <c r="J9" s="46">
        <f>SUM(J4:J8)</f>
      </c>
      <c r="K9" s="46">
        <f>SUM(K4:K8)</f>
      </c>
      <c r="L9" s="47">
        <f>IFERROR(K9/I9,0)</f>
      </c>
      <c r="M9" s="48"/>
    </row>
    <row r="11" ht="14" customHeight="1" spans="1:13" x14ac:dyDescent="0.25">
      <c r="A11" s="49" t="s">
        <v>149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</row>
  </sheetData>
  <mergeCells count="4">
    <mergeCell ref="A1:M1"/>
    <mergeCell ref="A2:M2"/>
    <mergeCell ref="A9:H9"/>
    <mergeCell ref="A11:M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I9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22" customWidth="1"/>
    <col min="2" max="2" width="32" customWidth="1"/>
    <col min="3" max="5" width="18" customWidth="1"/>
    <col min="6" max="8" width="12" customWidth="1"/>
    <col min="9" max="9" width="18" customWidth="1"/>
  </cols>
  <sheetData>
    <row r="1" ht="28" customHeight="1" spans="1:9" x14ac:dyDescent="0.25">
      <c r="A1" s="43" t="s">
        <v>150</v>
      </c>
      <c r="B1" s="43"/>
      <c r="C1" s="43"/>
      <c r="D1" s="43"/>
      <c r="E1" s="43"/>
      <c r="F1" s="43"/>
      <c r="G1" s="43"/>
      <c r="H1" s="43"/>
      <c r="I1" s="43"/>
    </row>
    <row r="2" ht="14" customHeight="1" spans="1:9" x14ac:dyDescent="0.25">
      <c r="A2" s="44" t="s">
        <v>151</v>
      </c>
      <c r="B2" s="44"/>
      <c r="C2" s="44"/>
      <c r="D2" s="44"/>
      <c r="E2" s="44"/>
      <c r="F2" s="44"/>
      <c r="G2" s="44"/>
      <c r="H2" s="44"/>
      <c r="I2" s="44"/>
    </row>
    <row r="3" ht="40" customHeight="1" spans="1:9" x14ac:dyDescent="0.25">
      <c r="A3" s="4" t="s">
        <v>152</v>
      </c>
      <c r="B3" s="4" t="s">
        <v>153</v>
      </c>
      <c r="C3" s="4" t="s">
        <v>154</v>
      </c>
      <c r="D3" s="4" t="s">
        <v>155</v>
      </c>
      <c r="E3" s="4" t="s">
        <v>156</v>
      </c>
      <c r="F3" s="4" t="s">
        <v>157</v>
      </c>
      <c r="G3" s="4" t="s">
        <v>158</v>
      </c>
      <c r="H3" s="4" t="s">
        <v>159</v>
      </c>
      <c r="I3" s="4" t="s">
        <v>160</v>
      </c>
    </row>
    <row r="4" ht="36" customHeight="1" spans="1:9" x14ac:dyDescent="0.25">
      <c r="A4" s="11" t="s">
        <v>161</v>
      </c>
      <c r="B4" s="12" t="s">
        <v>162</v>
      </c>
      <c r="C4" s="50">
        <v>582500</v>
      </c>
      <c r="D4" s="50">
        <v>-47125</v>
      </c>
      <c r="E4" s="50">
        <v>535375</v>
      </c>
      <c r="F4" s="51">
        <v>0.96</v>
      </c>
      <c r="G4" s="51">
        <v>0.95</v>
      </c>
      <c r="H4" s="52">
        <v>96</v>
      </c>
      <c r="I4" s="15">
        <f>IFERROR(E4/H4,0)</f>
      </c>
    </row>
    <row r="5" ht="36" customHeight="1" spans="1:9" x14ac:dyDescent="0.25">
      <c r="A5" s="6" t="s">
        <v>163</v>
      </c>
      <c r="B5" s="7" t="s">
        <v>164</v>
      </c>
      <c r="C5" s="53">
        <v>324800</v>
      </c>
      <c r="D5" s="53">
        <v>-61440</v>
      </c>
      <c r="E5" s="53">
        <v>263360</v>
      </c>
      <c r="F5" s="54">
        <v>0.94</v>
      </c>
      <c r="G5" s="54">
        <v>0.93</v>
      </c>
      <c r="H5" s="55">
        <v>80</v>
      </c>
      <c r="I5" s="10">
        <f>IFERROR(E5/H5,0)</f>
      </c>
    </row>
    <row r="6" ht="36" customHeight="1" spans="1:9" x14ac:dyDescent="0.25">
      <c r="A6" s="11" t="s">
        <v>165</v>
      </c>
      <c r="B6" s="12" t="s">
        <v>166</v>
      </c>
      <c r="C6" s="50">
        <v>118400</v>
      </c>
      <c r="D6" s="50">
        <v>-35288</v>
      </c>
      <c r="E6" s="50">
        <v>83112</v>
      </c>
      <c r="F6" s="51">
        <v>0.95</v>
      </c>
      <c r="G6" s="51">
        <v>0.94</v>
      </c>
      <c r="H6" s="52">
        <v>68</v>
      </c>
      <c r="I6" s="15">
        <f>IFERROR(E6/H6,0)</f>
      </c>
    </row>
    <row r="7" ht="22" customHeight="1" spans="1:9" x14ac:dyDescent="0.25">
      <c r="A7" s="56" t="s">
        <v>167</v>
      </c>
      <c r="B7" s="57" t="s">
        <v>168</v>
      </c>
      <c r="C7" s="29">
        <f>SUM(C4:C6)</f>
      </c>
      <c r="D7" s="29">
        <f>SUM(D4:D6)</f>
      </c>
      <c r="E7" s="29">
        <f>SUM(E4:E6)</f>
      </c>
      <c r="F7" s="58">
        <f>F4*F5*F6</f>
      </c>
      <c r="G7" s="58">
        <f>G4*G5*G6</f>
      </c>
      <c r="H7" s="59">
        <v>68</v>
      </c>
      <c r="I7" s="29">
        <f>IFERROR(E7/H7,0)</f>
      </c>
    </row>
    <row r="9" ht="15" customHeight="1" spans="1:9" x14ac:dyDescent="0.25">
      <c r="A9" s="49" t="s">
        <v>169</v>
      </c>
      <c r="B9" s="49"/>
      <c r="C9" s="49"/>
      <c r="D9" s="49"/>
      <c r="E9" s="49"/>
      <c r="F9" s="49"/>
      <c r="G9" s="49"/>
      <c r="H9" s="49"/>
      <c r="I9" s="49"/>
    </row>
  </sheetData>
  <mergeCells count="3">
    <mergeCell ref="A1:I1"/>
    <mergeCell ref="A2:I2"/>
    <mergeCell ref="A9:I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RMC Sheet</vt:lpstr>
      <vt:lpstr>Variance Analysis</vt:lpstr>
      <vt:lpstr>Stage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RMC Template Generator</dc:creator>
  <dc:title/>
  <dc:subject/>
  <dc:description/>
  <cp:keywords/>
  <cp:category/>
  <cp:lastModifiedBy>Unknown</cp:lastModifiedBy>
  <dcterms:created xsi:type="dcterms:W3CDTF">2026-05-27T16:41:45Z</dcterms:created>
  <dcterms:modified xsi:type="dcterms:W3CDTF">2026-05-27T16:41:45Z</dcterms:modified>
</cp:coreProperties>
</file>